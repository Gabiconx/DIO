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3651a150edab1a/Documentos/"/>
    </mc:Choice>
  </mc:AlternateContent>
  <xr:revisionPtr revIDLastSave="0" documentId="8_{B0C96A0F-F26F-4745-AC4D-4A3463E5CBAE}" xr6:coauthVersionLast="47" xr6:coauthVersionMax="47" xr10:uidLastSave="{00000000-0000-0000-0000-000000000000}"/>
  <bookViews>
    <workbookView xWindow="15195" yWindow="0" windowWidth="13710" windowHeight="15585" xr2:uid="{BF4DC34B-C10D-49CE-9208-96AEAAB2921F}"/>
  </bookViews>
  <sheets>
    <sheet name="Planilha1" sheetId="1" r:id="rId1"/>
    <sheet name="Planilha2" sheetId="2" r:id="rId2"/>
  </sheets>
  <definedNames>
    <definedName name="Aporte">Planilha1!$D$15</definedName>
    <definedName name="patrimonio">Planilha1!$D$18</definedName>
    <definedName name="qtd_anos">Planilha1!$D$16</definedName>
    <definedName name="Rendimento_carteira">Planilha1!$D$10</definedName>
    <definedName name="salario">Planilha1!$D$9</definedName>
    <definedName name="sugest_invest">Planilha1!$D$11</definedName>
    <definedName name="Taxa_mensal">Planilha1!$D$17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6" i="1"/>
  <c r="C22" i="1"/>
  <c r="C25" i="1"/>
  <c r="D25" i="1" s="1"/>
  <c r="C23" i="1"/>
  <c r="D23" i="1" s="1"/>
  <c r="C24" i="1"/>
  <c r="C26" i="1"/>
  <c r="C29" i="1"/>
  <c r="C33" i="1"/>
  <c r="C34" i="1"/>
  <c r="C35" i="1"/>
  <c r="C36" i="1"/>
  <c r="C37" i="1"/>
  <c r="C32" i="1"/>
  <c r="A10" i="2"/>
  <c r="A11" i="2"/>
  <c r="A9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D18" i="1"/>
  <c r="D19" i="1" s="1"/>
  <c r="D11" i="1"/>
  <c r="D24" i="1"/>
  <c r="D33" i="1" l="1"/>
  <c r="D35" i="1"/>
  <c r="D37" i="1"/>
  <c r="D36" i="1"/>
  <c r="D32" i="1"/>
  <c r="D34" i="1"/>
  <c r="D38" i="1"/>
</calcChain>
</file>

<file path=xl/sharedStrings.xml><?xml version="1.0" encoding="utf-8"?>
<sst xmlns="http://schemas.openxmlformats.org/spreadsheetml/2006/main" count="70" uniqueCount="34">
  <si>
    <t>INVESTIMENTOS EM FUNDOS IMOBILIÁRIOS</t>
  </si>
  <si>
    <t>Quanto investir por mês?</t>
  </si>
  <si>
    <t>Por quantos anos?</t>
  </si>
  <si>
    <t>Taxa de Rendimento mensal?</t>
  </si>
  <si>
    <t>Patrimônio acumulado?</t>
  </si>
  <si>
    <t>Dividendos mensais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</si>
  <si>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</si>
  <si>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</si>
  <si>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</si>
  <si>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</si>
  <si>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</si>
  <si>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</si>
  <si>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</si>
  <si>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</t>
  </si>
  <si>
    <t>CONFIGURAÇÕES</t>
  </si>
  <si>
    <t>Salário</t>
  </si>
  <si>
    <t>Rendimento Carteira</t>
  </si>
  <si>
    <t>Agressivo</t>
  </si>
  <si>
    <t>Conservador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</si>
  <si>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</si>
  <si>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</si>
  <si>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</si>
  <si>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</si>
  <si>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</si>
  <si>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</si>
  <si>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</si>
  <si>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</si>
  <si>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</si>
  <si>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</si>
  <si>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</si>
  <si>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</si>
  <si>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CHAVE</t>
  </si>
  <si>
    <t>Moderado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</si>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</sst>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73" formatCode="&quot;R$&quot;\ #,##0.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2"/>
      <color theme="0"/>
      <name val="Britannic Bold"/>
      <family val="2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rgb="FF9C57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hair">
        <color theme="0"/>
      </right>
      <top style="thin">
        <color theme="1"/>
      </top>
      <bottom style="hair">
        <color theme="0"/>
      </bottom>
      <diagonal/>
    </border>
    <border>
      <left style="hair">
        <color theme="0"/>
      </left>
      <right style="hair">
        <color theme="0"/>
      </right>
      <top style="thin">
        <color theme="1"/>
      </top>
      <bottom style="hair">
        <color theme="0"/>
      </bottom>
      <diagonal/>
    </border>
    <border>
      <left style="hair">
        <color theme="0"/>
      </left>
      <right style="thin">
        <color theme="1"/>
      </right>
      <top style="thin">
        <color theme="1"/>
      </top>
      <bottom style="hair">
        <color theme="0"/>
      </bottom>
      <diagonal/>
    </border>
    <border>
      <left style="thin">
        <color theme="1"/>
      </left>
      <right style="hair">
        <color theme="0"/>
      </right>
      <top style="hair">
        <color theme="0"/>
      </top>
      <bottom style="thin">
        <color theme="1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thin">
        <color theme="1"/>
      </bottom>
      <diagonal/>
    </border>
    <border>
      <left style="hair">
        <color theme="0"/>
      </left>
      <right style="thin">
        <color theme="1"/>
      </right>
      <top style="hair">
        <color theme="0"/>
      </top>
      <bottom style="thin">
        <color theme="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61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8" fontId="0" fillId="0" borderId="0" xfId="0" applyNumberFormat="1" applyBorder="1" applyAlignment="1">
      <alignment horizontal="center"/>
    </xf>
    <xf numFmtId="0" fontId="5" fillId="0" borderId="0" xfId="0" applyFont="1"/>
    <xf numFmtId="173" fontId="0" fillId="0" borderId="8" xfId="1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10" fontId="0" fillId="0" borderId="8" xfId="2" applyNumberFormat="1" applyFont="1" applyBorder="1" applyAlignment="1">
      <alignment horizontal="center"/>
    </xf>
    <xf numFmtId="8" fontId="0" fillId="4" borderId="1" xfId="0" applyNumberFormat="1" applyFill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8" fontId="0" fillId="3" borderId="8" xfId="0" applyNumberFormat="1" applyFill="1" applyBorder="1" applyAlignment="1">
      <alignment horizontal="center"/>
    </xf>
    <xf numFmtId="8" fontId="0" fillId="3" borderId="3" xfId="0" applyNumberFormat="1" applyFill="1" applyBorder="1" applyAlignment="1">
      <alignment horizontal="center"/>
    </xf>
    <xf numFmtId="0" fontId="10" fillId="5" borderId="7" xfId="0" applyFont="1" applyFill="1" applyBorder="1" applyAlignment="1">
      <alignment horizontal="left" indent="2"/>
    </xf>
    <xf numFmtId="0" fontId="10" fillId="5" borderId="1" xfId="0" applyFont="1" applyFill="1" applyBorder="1" applyAlignment="1">
      <alignment horizontal="left" indent="2"/>
    </xf>
    <xf numFmtId="0" fontId="10" fillId="5" borderId="4" xfId="0" applyFont="1" applyFill="1" applyBorder="1" applyAlignment="1">
      <alignment horizontal="left" indent="2"/>
    </xf>
    <xf numFmtId="0" fontId="10" fillId="5" borderId="9" xfId="0" applyFont="1" applyFill="1" applyBorder="1" applyAlignment="1">
      <alignment horizontal="left" indent="2"/>
    </xf>
    <xf numFmtId="0" fontId="10" fillId="0" borderId="7" xfId="0" applyFont="1" applyBorder="1" applyAlignment="1">
      <alignment horizontal="left" indent="2"/>
    </xf>
    <xf numFmtId="0" fontId="10" fillId="0" borderId="1" xfId="0" applyFont="1" applyBorder="1" applyAlignment="1">
      <alignment horizontal="left" indent="2"/>
    </xf>
    <xf numFmtId="0" fontId="7" fillId="3" borderId="7" xfId="0" applyFont="1" applyFill="1" applyBorder="1" applyAlignment="1">
      <alignment horizontal="left" indent="2"/>
    </xf>
    <xf numFmtId="0" fontId="7" fillId="3" borderId="1" xfId="0" applyFont="1" applyFill="1" applyBorder="1" applyAlignment="1">
      <alignment horizontal="left" indent="2"/>
    </xf>
    <xf numFmtId="0" fontId="7" fillId="3" borderId="4" xfId="0" applyFont="1" applyFill="1" applyBorder="1" applyAlignment="1">
      <alignment horizontal="left" indent="2"/>
    </xf>
    <xf numFmtId="0" fontId="7" fillId="3" borderId="9" xfId="0" applyFont="1" applyFill="1" applyBorder="1" applyAlignment="1">
      <alignment horizontal="left" indent="2"/>
    </xf>
    <xf numFmtId="0" fontId="11" fillId="6" borderId="6" xfId="0" applyFont="1" applyFill="1" applyBorder="1" applyAlignment="1">
      <alignment horizontal="center" vertical="center"/>
    </xf>
    <xf numFmtId="0" fontId="11" fillId="6" borderId="10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/>
    </xf>
    <xf numFmtId="0" fontId="11" fillId="6" borderId="7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6" borderId="8" xfId="0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center" vertical="center"/>
    </xf>
    <xf numFmtId="0" fontId="9" fillId="7" borderId="10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7" borderId="8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173" fontId="0" fillId="5" borderId="3" xfId="0" applyNumberFormat="1" applyFill="1" applyBorder="1" applyAlignment="1">
      <alignment horizontal="center"/>
    </xf>
    <xf numFmtId="9" fontId="0" fillId="0" borderId="0" xfId="0" applyNumberFormat="1" applyAlignment="1">
      <alignment horizontal="center"/>
    </xf>
    <xf numFmtId="0" fontId="4" fillId="0" borderId="0" xfId="0" applyFont="1"/>
    <xf numFmtId="0" fontId="0" fillId="0" borderId="2" xfId="0" applyBorder="1"/>
    <xf numFmtId="0" fontId="0" fillId="0" borderId="2" xfId="0" applyBorder="1" applyAlignment="1">
      <alignment horizontal="center"/>
    </xf>
    <xf numFmtId="9" fontId="0" fillId="0" borderId="2" xfId="0" applyNumberFormat="1" applyBorder="1" applyAlignment="1">
      <alignment horizontal="center"/>
    </xf>
    <xf numFmtId="0" fontId="12" fillId="2" borderId="11" xfId="3" applyFont="1" applyBorder="1" applyAlignment="1">
      <alignment horizontal="left" indent="2"/>
    </xf>
    <xf numFmtId="0" fontId="2" fillId="2" borderId="12" xfId="3" applyBorder="1" applyAlignment="1">
      <alignment horizontal="center"/>
    </xf>
    <xf numFmtId="0" fontId="2" fillId="2" borderId="13" xfId="3" applyBorder="1" applyAlignment="1">
      <alignment horizontal="center"/>
    </xf>
    <xf numFmtId="0" fontId="10" fillId="4" borderId="14" xfId="0" applyFont="1" applyFill="1" applyBorder="1" applyAlignment="1">
      <alignment horizontal="left" indent="2"/>
    </xf>
    <xf numFmtId="173" fontId="10" fillId="4" borderId="15" xfId="0" applyNumberFormat="1" applyFont="1" applyFill="1" applyBorder="1" applyAlignment="1">
      <alignment horizontal="center"/>
    </xf>
    <xf numFmtId="173" fontId="10" fillId="4" borderId="16" xfId="0" applyNumberFormat="1" applyFont="1" applyFill="1" applyBorder="1" applyAlignment="1">
      <alignment horizontal="center"/>
    </xf>
    <xf numFmtId="0" fontId="10" fillId="4" borderId="7" xfId="0" applyFont="1" applyFill="1" applyBorder="1" applyAlignment="1">
      <alignment horizontal="left" indent="2"/>
    </xf>
    <xf numFmtId="173" fontId="0" fillId="4" borderId="8" xfId="1" applyNumberFormat="1" applyFont="1" applyFill="1" applyBorder="1" applyAlignment="1">
      <alignment horizontal="center"/>
    </xf>
    <xf numFmtId="0" fontId="10" fillId="4" borderId="4" xfId="0" applyFont="1" applyFill="1" applyBorder="1" applyAlignment="1">
      <alignment horizontal="left" indent="2"/>
    </xf>
    <xf numFmtId="8" fontId="0" fillId="4" borderId="9" xfId="0" applyNumberFormat="1" applyFill="1" applyBorder="1" applyAlignment="1">
      <alignment horizontal="center"/>
    </xf>
    <xf numFmtId="173" fontId="0" fillId="4" borderId="3" xfId="1" applyNumberFormat="1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3" fontId="0" fillId="5" borderId="1" xfId="0" applyNumberFormat="1" applyFill="1" applyBorder="1" applyAlignment="1">
      <alignment horizontal="center"/>
    </xf>
    <xf numFmtId="0" fontId="0" fillId="9" borderId="1" xfId="0" applyFill="1" applyBorder="1"/>
    <xf numFmtId="173" fontId="4" fillId="9" borderId="1" xfId="0" applyNumberFormat="1" applyFont="1" applyFill="1" applyBorder="1" applyAlignment="1">
      <alignment horizontal="center"/>
    </xf>
    <xf numFmtId="0" fontId="3" fillId="10" borderId="0" xfId="0" applyFont="1" applyFill="1"/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134904</xdr:colOff>
      <xdr:row>0</xdr:row>
      <xdr:rowOff>163479</xdr:rowOff>
    </xdr:from>
    <xdr:to>
      <xdr:col>1</xdr:col>
      <xdr:colOff>38106</xdr:colOff>
      <xdr:row>3</xdr:row>
      <xdr:rowOff>106914</xdr:rowOff>
    </xdr:to>
    <xdr:pic>
      <xdr:nvPicPr>
        <xdr:cNvPr id="3" name="Gráfico 2" descr="Gráfico de barras com preenchimento sólido">
          <a:extLst>
            <a:ext uri="{FF2B5EF4-FFF2-40B4-BE49-F238E27FC236}">
              <a16:creationId xmlns:a16="http://schemas.microsoft.com/office/drawing/2014/main" id="{6E64EFAC-C48B-7C17-4EC2-261F025B1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904" y="163479"/>
          <a:ext cx="515523" cy="5265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A6C3D-3C74-4D41-98AF-AB58264DA90F}">
  <dimension ref="A1:K67"/>
  <sheetViews>
    <sheetView showGridLines="0" tabSelected="1" zoomScale="98" zoomScaleNormal="98" workbookViewId="0">
      <selection activeCell="D44" sqref="D44"/>
    </sheetView>
  </sheetViews>
  <sheetFormatPr defaultColWidth="0" defaultRowHeight="15" x14ac:dyDescent="0.25"/>
  <cols>
    <col min="1" max="1" width="9.140625" customWidth="1"/>
    <col min="2" max="2" width="39.85546875" customWidth="1"/>
    <col min="3" max="3" width="40" customWidth="1"/>
    <col min="4" max="4" width="15.140625" customWidth="1"/>
    <col min="5" max="5" width="4.28515625" customWidth="1"/>
    <col min="6" max="6" width="3.7109375" customWidth="1"/>
    <col min="12" max="16384" width="9.140625" hidden="1"/>
  </cols>
  <sheetData>
    <row r="1" spans="1:4" ht="15" customHeight="1" x14ac:dyDescent="0.25">
      <c r="A1" s="37" t="s">
        <v>0</v>
      </c>
      <c r="B1" s="37"/>
      <c r="C1" s="37"/>
      <c r="D1" s="37"/>
    </row>
    <row r="2" spans="1:4" ht="15" customHeight="1" x14ac:dyDescent="0.25">
      <c r="A2" s="37"/>
      <c r="B2" s="37"/>
      <c r="C2" s="37"/>
      <c r="D2" s="37"/>
    </row>
    <row r="3" spans="1:4" ht="15" customHeight="1" x14ac:dyDescent="0.25">
      <c r="A3" s="37"/>
      <c r="B3" s="37"/>
      <c r="C3" s="37"/>
      <c r="D3" s="37"/>
    </row>
    <row r="4" spans="1:4" ht="27" customHeight="1" x14ac:dyDescent="0.25">
      <c r="A4" s="37"/>
      <c r="B4" s="37"/>
      <c r="C4" s="37"/>
      <c r="D4" s="37"/>
    </row>
    <row r="6" spans="1:4" ht="15.75" thickBot="1" x14ac:dyDescent="0.3"/>
    <row r="7" spans="1:4" ht="15" customHeight="1" x14ac:dyDescent="0.25">
      <c r="B7" s="31" t="s">
        <v>14</v>
      </c>
      <c r="C7" s="32"/>
      <c r="D7" s="33"/>
    </row>
    <row r="8" spans="1:4" ht="15" customHeight="1" x14ac:dyDescent="0.25">
      <c r="B8" s="34"/>
      <c r="C8" s="35"/>
      <c r="D8" s="36"/>
    </row>
    <row r="9" spans="1:4" ht="15.75" x14ac:dyDescent="0.25">
      <c r="B9" s="14" t="s">
        <v>15</v>
      </c>
      <c r="C9" s="15"/>
      <c r="D9" s="6">
        <v>2000</v>
      </c>
    </row>
    <row r="10" spans="1:4" ht="15.75" x14ac:dyDescent="0.25">
      <c r="B10" s="14" t="s">
        <v>16</v>
      </c>
      <c r="C10" s="15"/>
      <c r="D10" s="11">
        <v>8.9999999999999993E-3</v>
      </c>
    </row>
    <row r="11" spans="1:4" ht="16.5" thickBot="1" x14ac:dyDescent="0.3">
      <c r="B11" s="16" t="s">
        <v>33</v>
      </c>
      <c r="C11" s="17"/>
      <c r="D11" s="38">
        <f>D9*30%</f>
        <v>600</v>
      </c>
    </row>
    <row r="12" spans="1:4" ht="15.75" thickBot="1" x14ac:dyDescent="0.3"/>
    <row r="13" spans="1:4" ht="15" customHeight="1" x14ac:dyDescent="0.25">
      <c r="B13" s="24" t="s">
        <v>6</v>
      </c>
      <c r="C13" s="25"/>
      <c r="D13" s="27"/>
    </row>
    <row r="14" spans="1:4" ht="15" customHeight="1" x14ac:dyDescent="0.25">
      <c r="B14" s="28"/>
      <c r="C14" s="29"/>
      <c r="D14" s="30"/>
    </row>
    <row r="15" spans="1:4" ht="15.75" x14ac:dyDescent="0.25">
      <c r="B15" s="18" t="s">
        <v>1</v>
      </c>
      <c r="C15" s="19"/>
      <c r="D15" s="6">
        <v>200</v>
      </c>
    </row>
    <row r="16" spans="1:4" ht="15.75" x14ac:dyDescent="0.25">
      <c r="B16" s="18" t="s">
        <v>2</v>
      </c>
      <c r="C16" s="19"/>
      <c r="D16" s="8">
        <v>5</v>
      </c>
    </row>
    <row r="17" spans="1:6" ht="15.75" x14ac:dyDescent="0.25">
      <c r="B17" s="18" t="s">
        <v>3</v>
      </c>
      <c r="C17" s="19"/>
      <c r="D17" s="9">
        <v>1.0789999999999999E-2</v>
      </c>
    </row>
    <row r="18" spans="1:6" ht="15.75" x14ac:dyDescent="0.25">
      <c r="B18" s="20" t="s">
        <v>4</v>
      </c>
      <c r="C18" s="21"/>
      <c r="D18" s="12">
        <f>FV(Taxa_mensal,qtd_anos*12,Aporte*-1)</f>
        <v>16755.382799697527</v>
      </c>
    </row>
    <row r="19" spans="1:6" ht="16.5" thickBot="1" x14ac:dyDescent="0.3">
      <c r="B19" s="22" t="s">
        <v>5</v>
      </c>
      <c r="C19" s="23"/>
      <c r="D19" s="13">
        <f>patrimonio*Rendimento_carteira</f>
        <v>150.79844519727774</v>
      </c>
      <c r="F19" s="2"/>
    </row>
    <row r="20" spans="1:6" ht="15.75" thickBot="1" x14ac:dyDescent="0.3"/>
    <row r="21" spans="1:6" ht="21" x14ac:dyDescent="0.25">
      <c r="B21" s="24" t="s">
        <v>12</v>
      </c>
      <c r="C21" s="25"/>
      <c r="D21" s="26" t="s">
        <v>13</v>
      </c>
    </row>
    <row r="22" spans="1:6" ht="15.75" x14ac:dyDescent="0.25">
      <c r="A22" s="5">
        <v>2</v>
      </c>
      <c r="B22" s="50" t="s">
        <v>7</v>
      </c>
      <c r="C22" s="10">
        <f>FV($D$17,A$22*12,$D$15*-1)</f>
        <v>5445.5254595290435</v>
      </c>
      <c r="D22" s="51">
        <f>C22*Rendimento_carteira</f>
        <v>49.00972913576139</v>
      </c>
    </row>
    <row r="23" spans="1:6" ht="15.75" x14ac:dyDescent="0.25">
      <c r="A23" s="5">
        <v>5</v>
      </c>
      <c r="B23" s="50" t="s">
        <v>8</v>
      </c>
      <c r="C23" s="10">
        <f>FV($D$17,A$23*12,$D$15*-1)</f>
        <v>16755.382799697527</v>
      </c>
      <c r="D23" s="51">
        <f>C23*Rendimento_carteira</f>
        <v>150.79844519727774</v>
      </c>
    </row>
    <row r="24" spans="1:6" ht="15.75" x14ac:dyDescent="0.25">
      <c r="A24" s="5">
        <v>10</v>
      </c>
      <c r="B24" s="50" t="s">
        <v>9</v>
      </c>
      <c r="C24" s="10">
        <f>FV($D$17,A$24*12,$D$15*-1)</f>
        <v>48656.842506034438</v>
      </c>
      <c r="D24" s="51">
        <f>C24*Rendimento_carteira</f>
        <v>437.91158255430992</v>
      </c>
    </row>
    <row r="25" spans="1:6" ht="15.75" x14ac:dyDescent="0.25">
      <c r="A25" s="5">
        <v>20</v>
      </c>
      <c r="B25" s="50" t="s">
        <v>10</v>
      </c>
      <c r="C25" s="10">
        <f>FV($D$17,A$25*12,$D$15*-1)</f>
        <v>225039.68001941612</v>
      </c>
      <c r="D25" s="51">
        <f>C25*Rendimento_carteira</f>
        <v>2025.357120174745</v>
      </c>
    </row>
    <row r="26" spans="1:6" ht="16.5" thickBot="1" x14ac:dyDescent="0.3">
      <c r="A26" s="5">
        <v>30</v>
      </c>
      <c r="B26" s="52" t="s">
        <v>11</v>
      </c>
      <c r="C26" s="53">
        <f>FV($D$17,A$26*12,$D$15*-1)</f>
        <v>864433.93100094295</v>
      </c>
      <c r="D26" s="54">
        <f>C26*Rendimento_carteira</f>
        <v>7779.9053790084863</v>
      </c>
    </row>
    <row r="27" spans="1:6" x14ac:dyDescent="0.25">
      <c r="C27" s="4"/>
      <c r="D27" s="3"/>
      <c r="E27" s="3"/>
      <c r="F27" s="3"/>
    </row>
    <row r="28" spans="1:6" ht="15.75" x14ac:dyDescent="0.25">
      <c r="B28" s="44" t="s">
        <v>20</v>
      </c>
      <c r="C28" s="45" t="s">
        <v>18</v>
      </c>
      <c r="D28" s="46"/>
    </row>
    <row r="29" spans="1:6" ht="15.75" x14ac:dyDescent="0.25">
      <c r="B29" s="47" t="s">
        <v>19</v>
      </c>
      <c r="C29" s="48">
        <f>Aporte</f>
        <v>200</v>
      </c>
      <c r="D29" s="49"/>
    </row>
    <row r="31" spans="1:6" x14ac:dyDescent="0.25">
      <c r="B31" s="55" t="s">
        <v>21</v>
      </c>
      <c r="C31" s="55" t="s">
        <v>22</v>
      </c>
      <c r="D31" s="55" t="s">
        <v>23</v>
      </c>
    </row>
    <row r="32" spans="1:6" x14ac:dyDescent="0.25">
      <c r="B32" s="7" t="s">
        <v>24</v>
      </c>
      <c r="C32" s="56">
        <f>VLOOKUP($C$28&amp;"-"&amp;B32,Planilha2!$A1:$D20,4,FALSE)</f>
        <v>0.3</v>
      </c>
      <c r="D32" s="57">
        <f>C32*$C$29</f>
        <v>60</v>
      </c>
    </row>
    <row r="33" spans="2:4" x14ac:dyDescent="0.25">
      <c r="B33" s="7" t="s">
        <v>25</v>
      </c>
      <c r="C33" s="56">
        <f>VLOOKUP($C$28&amp;"-"&amp;B33,Planilha2!$A2:$D21,4,FALSE)</f>
        <v>0.5</v>
      </c>
      <c r="D33" s="57">
        <f t="shared" ref="D33:D37" si="0">C33*$C$29</f>
        <v>100</v>
      </c>
    </row>
    <row r="34" spans="2:4" x14ac:dyDescent="0.25">
      <c r="B34" s="7" t="s">
        <v>26</v>
      </c>
      <c r="C34" s="56">
        <f>VLOOKUP($C$28&amp;"-"&amp;B34,Planilha2!$A3:$D22,4,FALSE)</f>
        <v>0.1</v>
      </c>
      <c r="D34" s="57">
        <f t="shared" si="0"/>
        <v>20</v>
      </c>
    </row>
    <row r="35" spans="2:4" x14ac:dyDescent="0.25">
      <c r="B35" s="7" t="s">
        <v>27</v>
      </c>
      <c r="C35" s="56">
        <f>VLOOKUP($C$28&amp;"-"&amp;B35,Planilha2!$A4:$D23,4,FALSE)</f>
        <v>0.1</v>
      </c>
      <c r="D35" s="57">
        <f t="shared" si="0"/>
        <v>20</v>
      </c>
    </row>
    <row r="36" spans="2:4" x14ac:dyDescent="0.25">
      <c r="B36" s="7" t="s">
        <v>28</v>
      </c>
      <c r="C36" s="56">
        <f>VLOOKUP($C$28&amp;"-"&amp;B36,Planilha2!$A5:$D24,4,FALSE)</f>
        <v>0</v>
      </c>
      <c r="D36" s="57">
        <f t="shared" si="0"/>
        <v>0</v>
      </c>
    </row>
    <row r="37" spans="2:4" x14ac:dyDescent="0.25">
      <c r="B37" s="7" t="s">
        <v>29</v>
      </c>
      <c r="C37" s="56">
        <f>VLOOKUP($C$28&amp;"-"&amp;B37,Planilha2!$A6:$D25,4,FALSE)</f>
        <v>0</v>
      </c>
      <c r="D37" s="57">
        <f t="shared" si="0"/>
        <v>0</v>
      </c>
    </row>
    <row r="38" spans="2:4" x14ac:dyDescent="0.25">
      <c r="B38" s="58"/>
      <c r="C38" s="58"/>
      <c r="D38" s="59">
        <f>SUM(D32:D37)</f>
        <v>200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</sheetData>
  <mergeCells count="15">
    <mergeCell ref="A1:D4"/>
    <mergeCell ref="C28:D28"/>
    <mergeCell ref="C29:D29"/>
    <mergeCell ref="B13:D14"/>
    <mergeCell ref="B7:D8"/>
    <mergeCell ref="B9:C9"/>
    <mergeCell ref="B10:C10"/>
    <mergeCell ref="B11:C11"/>
    <mergeCell ref="C27:F27"/>
    <mergeCell ref="B21:C21"/>
    <mergeCell ref="B15:C15"/>
    <mergeCell ref="B16:C16"/>
    <mergeCell ref="B17:C17"/>
    <mergeCell ref="B18:C18"/>
    <mergeCell ref="B19:C19"/>
  </mergeCells>
  <dataValidations count="1">
    <dataValidation type="list" allowBlank="1" showInputMessage="1" showErrorMessage="1" sqref="C28:D28" xr:uid="{64C36B8D-0C1E-42E6-88E4-51041CE4FBCE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1F3F5-CCBC-4D70-85E5-51AC64456F5E}">
  <dimension ref="A2:H20"/>
  <sheetViews>
    <sheetView workbookViewId="0">
      <selection activeCell="F21" sqref="F21"/>
    </sheetView>
  </sheetViews>
  <sheetFormatPr defaultRowHeight="15" x14ac:dyDescent="0.25"/>
  <cols>
    <col min="1" max="1" width="29.140625" bestFit="1" customWidth="1"/>
    <col min="2" max="2" width="12.7109375" customWidth="1"/>
    <col min="3" max="3" width="20" customWidth="1"/>
    <col min="7" max="7" width="16" bestFit="1" customWidth="1"/>
    <col min="8" max="8" width="10.140625" bestFit="1" customWidth="1"/>
  </cols>
  <sheetData>
    <row r="2" spans="1:8" x14ac:dyDescent="0.25">
      <c r="A2" s="60" t="s">
        <v>31</v>
      </c>
      <c r="B2" s="60" t="s">
        <v>20</v>
      </c>
      <c r="C2" s="60" t="s">
        <v>21</v>
      </c>
      <c r="D2" s="60" t="s">
        <v>30</v>
      </c>
    </row>
    <row r="3" spans="1:8" x14ac:dyDescent="0.25">
      <c r="A3" t="str">
        <f>B3&amp;"-"&amp;C3</f>
        <v>Conservador-Papel</v>
      </c>
      <c r="B3" t="s">
        <v>18</v>
      </c>
      <c r="C3" s="1" t="s">
        <v>24</v>
      </c>
      <c r="D3" s="39">
        <v>0.3</v>
      </c>
    </row>
    <row r="4" spans="1:8" x14ac:dyDescent="0.25">
      <c r="A4" t="str">
        <f t="shared" ref="A4:A20" si="0">B4&amp;"-"&amp;C4</f>
        <v>Conservador-Tijolo</v>
      </c>
      <c r="B4" t="s">
        <v>18</v>
      </c>
      <c r="C4" s="1" t="s">
        <v>25</v>
      </c>
      <c r="D4" s="39">
        <v>0.5</v>
      </c>
      <c r="H4" s="40"/>
    </row>
    <row r="5" spans="1:8" x14ac:dyDescent="0.25">
      <c r="A5" t="str">
        <f t="shared" si="0"/>
        <v>Conservador-Híbridos</v>
      </c>
      <c r="B5" t="s">
        <v>18</v>
      </c>
      <c r="C5" s="1" t="s">
        <v>26</v>
      </c>
      <c r="D5" s="39">
        <v>0.1</v>
      </c>
    </row>
    <row r="6" spans="1:8" x14ac:dyDescent="0.25">
      <c r="A6" t="str">
        <f t="shared" si="0"/>
        <v>Conservador-FOFs</v>
      </c>
      <c r="B6" t="s">
        <v>18</v>
      </c>
      <c r="C6" s="1" t="s">
        <v>27</v>
      </c>
      <c r="D6" s="39">
        <v>0.1</v>
      </c>
    </row>
    <row r="7" spans="1:8" x14ac:dyDescent="0.25">
      <c r="A7" t="str">
        <f t="shared" si="0"/>
        <v>Conservador-Desenvolvimento</v>
      </c>
      <c r="B7" t="s">
        <v>18</v>
      </c>
      <c r="C7" s="1" t="s">
        <v>28</v>
      </c>
      <c r="D7" s="39">
        <v>0</v>
      </c>
    </row>
    <row r="8" spans="1:8" x14ac:dyDescent="0.25">
      <c r="A8" s="41" t="str">
        <f t="shared" si="0"/>
        <v>Conservador-Hotelarias</v>
      </c>
      <c r="B8" s="41" t="s">
        <v>18</v>
      </c>
      <c r="C8" s="42" t="s">
        <v>29</v>
      </c>
      <c r="D8" s="43">
        <v>0</v>
      </c>
    </row>
    <row r="9" spans="1:8" x14ac:dyDescent="0.25">
      <c r="A9" t="str">
        <f t="shared" si="0"/>
        <v>Moderado-Papel</v>
      </c>
      <c r="B9" t="s">
        <v>32</v>
      </c>
      <c r="C9" s="1" t="s">
        <v>24</v>
      </c>
      <c r="D9" s="39">
        <v>0.32</v>
      </c>
    </row>
    <row r="10" spans="1:8" x14ac:dyDescent="0.25">
      <c r="A10" t="str">
        <f>B10&amp;"-"&amp;C10</f>
        <v>Moderado-Tijolo</v>
      </c>
      <c r="B10" t="s">
        <v>32</v>
      </c>
      <c r="C10" s="1" t="s">
        <v>25</v>
      </c>
      <c r="D10" s="39">
        <v>0.35</v>
      </c>
    </row>
    <row r="11" spans="1:8" x14ac:dyDescent="0.25">
      <c r="A11" t="str">
        <f>B11&amp;"-"&amp;C11</f>
        <v>Moderado-Híbridos</v>
      </c>
      <c r="B11" t="s">
        <v>32</v>
      </c>
      <c r="C11" s="1" t="s">
        <v>26</v>
      </c>
      <c r="D11" s="39">
        <v>0.08</v>
      </c>
    </row>
    <row r="12" spans="1:8" x14ac:dyDescent="0.25">
      <c r="A12" t="str">
        <f t="shared" si="0"/>
        <v>Moderado-FOFs</v>
      </c>
      <c r="B12" t="s">
        <v>32</v>
      </c>
      <c r="C12" s="1" t="s">
        <v>27</v>
      </c>
      <c r="D12" s="39">
        <v>0.05</v>
      </c>
    </row>
    <row r="13" spans="1:8" x14ac:dyDescent="0.25">
      <c r="A13" t="str">
        <f t="shared" si="0"/>
        <v>Moderado-Desenvolvimento</v>
      </c>
      <c r="B13" t="s">
        <v>32</v>
      </c>
      <c r="C13" s="1" t="s">
        <v>28</v>
      </c>
      <c r="D13" s="39">
        <v>0.1</v>
      </c>
    </row>
    <row r="14" spans="1:8" x14ac:dyDescent="0.25">
      <c r="A14" s="41" t="str">
        <f t="shared" si="0"/>
        <v>Moderado-Hotelarias</v>
      </c>
      <c r="B14" s="41" t="s">
        <v>32</v>
      </c>
      <c r="C14" s="42" t="s">
        <v>29</v>
      </c>
      <c r="D14" s="43">
        <v>0.1</v>
      </c>
    </row>
    <row r="15" spans="1:8" x14ac:dyDescent="0.25">
      <c r="A15" t="str">
        <f t="shared" si="0"/>
        <v>Agressivo-Papel</v>
      </c>
      <c r="B15" t="s">
        <v>17</v>
      </c>
      <c r="C15" s="1" t="s">
        <v>24</v>
      </c>
      <c r="D15" s="39">
        <v>0.5</v>
      </c>
    </row>
    <row r="16" spans="1:8" x14ac:dyDescent="0.25">
      <c r="A16" t="str">
        <f t="shared" si="0"/>
        <v>Agressivo-Tijolo</v>
      </c>
      <c r="B16" t="s">
        <v>17</v>
      </c>
      <c r="C16" s="1" t="s">
        <v>25</v>
      </c>
      <c r="D16" s="39">
        <v>0.1</v>
      </c>
    </row>
    <row r="17" spans="1:4" x14ac:dyDescent="0.25">
      <c r="A17" t="str">
        <f t="shared" si="0"/>
        <v>Agressivo-Híbridos</v>
      </c>
      <c r="B17" t="s">
        <v>17</v>
      </c>
      <c r="C17" s="1" t="s">
        <v>26</v>
      </c>
      <c r="D17" s="39">
        <v>0.05</v>
      </c>
    </row>
    <row r="18" spans="1:4" x14ac:dyDescent="0.25">
      <c r="A18" t="str">
        <f t="shared" si="0"/>
        <v>Agressivo-FOFs</v>
      </c>
      <c r="B18" t="s">
        <v>17</v>
      </c>
      <c r="C18" s="1" t="s">
        <v>27</v>
      </c>
      <c r="D18" s="39">
        <v>0.05</v>
      </c>
    </row>
    <row r="19" spans="1:4" x14ac:dyDescent="0.25">
      <c r="A19" t="str">
        <f t="shared" si="0"/>
        <v>Agressivo-Desenvolvimento</v>
      </c>
      <c r="B19" t="s">
        <v>17</v>
      </c>
      <c r="C19" s="1" t="s">
        <v>28</v>
      </c>
      <c r="D19" s="39">
        <v>0.2</v>
      </c>
    </row>
    <row r="20" spans="1:4" x14ac:dyDescent="0.25">
      <c r="A20" t="str">
        <f t="shared" si="0"/>
        <v>Agressivo-Hotelarias</v>
      </c>
      <c r="B20" t="s">
        <v>17</v>
      </c>
      <c r="C20" s="1" t="s">
        <v>29</v>
      </c>
      <c r="D20" s="39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Planilha1</vt:lpstr>
      <vt:lpstr>Planilha2</vt:lpstr>
      <vt:lpstr>Aporte</vt:lpstr>
      <vt:lpstr>patrimonio</vt:lpstr>
      <vt:lpstr>qtd_anos</vt:lpstr>
      <vt:lpstr>Rendimento_carteira</vt:lpstr>
      <vt:lpstr>salario</vt:lpstr>
      <vt:lpstr>sugest_invest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Santos</dc:creator>
  <cp:lastModifiedBy>Gabriela Santos</cp:lastModifiedBy>
  <dcterms:created xsi:type="dcterms:W3CDTF">2026-09-21T02:10:48Z</dcterms:created>
  <dcterms:modified xsi:type="dcterms:W3CDTF">2026-09-22T02:10:19Z</dcterms:modified>
</cp:coreProperties>
</file>